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j\Documents\Repositories\MIST\RESOURCES\BOM\"/>
    </mc:Choice>
  </mc:AlternateContent>
  <xr:revisionPtr revIDLastSave="0" documentId="13_ncr:1_{3D3CD23B-9A75-4717-9CFD-AAE9F4E49D7E}" xr6:coauthVersionLast="47" xr6:coauthVersionMax="47" xr10:uidLastSave="{00000000-0000-0000-0000-000000000000}"/>
  <bookViews>
    <workbookView xWindow="3190" yWindow="1980" windowWidth="19200" windowHeight="11170" xr2:uid="{26158271-47B5-455E-A3AA-B8B46F5AC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7" i="1"/>
  <c r="I15" i="1"/>
  <c r="I14" i="1"/>
  <c r="I16" i="1"/>
  <c r="I13" i="1"/>
  <c r="I19" i="1"/>
  <c r="I12" i="1"/>
  <c r="I4" i="1"/>
  <c r="I5" i="1"/>
  <c r="I6" i="1"/>
  <c r="I7" i="1"/>
  <c r="I8" i="1"/>
  <c r="I9" i="1"/>
  <c r="I10" i="1"/>
  <c r="I11" i="1"/>
  <c r="I3" i="1"/>
  <c r="I21" i="1" l="1"/>
</calcChain>
</file>

<file path=xl/sharedStrings.xml><?xml version="1.0" encoding="utf-8"?>
<sst xmlns="http://schemas.openxmlformats.org/spreadsheetml/2006/main" count="110" uniqueCount="79">
  <si>
    <t xml:space="preserve">Bill Of Material - Project Template </t>
  </si>
  <si>
    <t>Item #</t>
  </si>
  <si>
    <t>Designator</t>
  </si>
  <si>
    <t>Manufacturer</t>
  </si>
  <si>
    <t>Mounting Type</t>
  </si>
  <si>
    <t>Unit Price</t>
  </si>
  <si>
    <t>Total</t>
  </si>
  <si>
    <t>Quantity</t>
  </si>
  <si>
    <t>Link</t>
  </si>
  <si>
    <t>U1</t>
  </si>
  <si>
    <t>Atmel</t>
  </si>
  <si>
    <t>SMT</t>
  </si>
  <si>
    <t>https://www.digikey.ca/en/products/detail/microchip-technology/ATMEGA328PB-AU/5638812</t>
  </si>
  <si>
    <t>32-TQFP</t>
  </si>
  <si>
    <t>Package / Case</t>
  </si>
  <si>
    <t>Description / Value</t>
  </si>
  <si>
    <t>C1, C2</t>
  </si>
  <si>
    <t>C3, C4</t>
  </si>
  <si>
    <t>Y1</t>
  </si>
  <si>
    <t>16Mhz Crystal Osillator</t>
  </si>
  <si>
    <t>R6, R7</t>
  </si>
  <si>
    <t>J2</t>
  </si>
  <si>
    <t>USB Type C Power Only</t>
  </si>
  <si>
    <t>10k Resistor</t>
  </si>
  <si>
    <t>5.1K Resistor</t>
  </si>
  <si>
    <t>C5</t>
  </si>
  <si>
    <t>0805 (2012 Metric)</t>
  </si>
  <si>
    <t>KEMET</t>
  </si>
  <si>
    <t>100nF Ceramic Capacitor</t>
  </si>
  <si>
    <t>22pF Ceramic Capacitor</t>
  </si>
  <si>
    <t>22uF Ceramic Capacitor</t>
  </si>
  <si>
    <t>https://www.digikey.ca/en/products/detail/same-sky-formerly-cui-devices/UJC-H-G-SMT-P6-TR/24818614</t>
  </si>
  <si>
    <t>Tactile Switch</t>
  </si>
  <si>
    <t>4-SMD (3.2x2.5)</t>
  </si>
  <si>
    <t>https://www.digikey.ca/en/products/detail/abracon-llc/ABM8-16.000MHZ-B2X-T/12349981</t>
  </si>
  <si>
    <t>https://www.digikey.ca/en/products/detail/murata-electronics/GRM21A5C2D220JW01D/6606256</t>
  </si>
  <si>
    <t>https://www.digikey.ca/en/products/detail/murata-electronics/GRM21BZ70J226ME44K/19560602</t>
  </si>
  <si>
    <t>https://www.digikey.ca/en/products/detail/kemet/C0805C104J5RACAUTO/3314435</t>
  </si>
  <si>
    <t>https://www.digikey.ca/en/products/detail/alps-alpine/SKRPABE010/18768948</t>
  </si>
  <si>
    <t>Total:</t>
  </si>
  <si>
    <t>Murata Electronics</t>
  </si>
  <si>
    <t>Abracon LLC</t>
  </si>
  <si>
    <t>Same Sky</t>
  </si>
  <si>
    <t>Alpine</t>
  </si>
  <si>
    <t>Analog Devices Inc./Maxim Integrated</t>
  </si>
  <si>
    <t>LED Driver 24-SOIC</t>
  </si>
  <si>
    <t>U2</t>
  </si>
  <si>
    <t>24-SOIC (0.295", 7.50mm Width)</t>
  </si>
  <si>
    <t>https://www.digikey.ca/en/products/detail/analog-devices-inc-maxim-integrated/MAX7219CWG-T/1514450</t>
  </si>
  <si>
    <t>On Hand</t>
  </si>
  <si>
    <t>8x8 LED Matrix</t>
  </si>
  <si>
    <t>THT</t>
  </si>
  <si>
    <t>https://www.digikey.ca/en/products/detail/kemet/C0805C104K5RACTU/411169</t>
  </si>
  <si>
    <t>0.1uF Ceramic Capacitor</t>
  </si>
  <si>
    <t>https://www.digikey.ca/en/products/detail/stackpole-electronics-inc/RMCF0805FT10K0/1760676</t>
  </si>
  <si>
    <t>Stackpole Electronics Inc</t>
  </si>
  <si>
    <t>https://www.digikey.ca/en/products/detail/same-sky-formerly-cui-devices/CMC-5042PF-AC/1869984?s=N4IgTCBcDaIMIFk4FoCsAGALGACgMWQEE4QBdAXyA</t>
  </si>
  <si>
    <t>Custom</t>
  </si>
  <si>
    <t>Microphone</t>
  </si>
  <si>
    <t>MK1</t>
  </si>
  <si>
    <t>https://www.digikey.ca/en/products/detail/analog-devices-inc-maxim-integrated/MAX4466EXK-T/1781624</t>
  </si>
  <si>
    <t>5-TSSOP, SC-70-5, SOT-353</t>
  </si>
  <si>
    <t>Microphone Preamplifier</t>
  </si>
  <si>
    <t>U3</t>
  </si>
  <si>
    <t>R8, R9</t>
  </si>
  <si>
    <t>2k Resistor</t>
  </si>
  <si>
    <t>https://www.digikey.ca/en/products/detail/panasonic-electronic-components/ERA-6AEB202V/1465756</t>
  </si>
  <si>
    <t>Panasonic Electronic Components</t>
  </si>
  <si>
    <t>1M Resistor</t>
  </si>
  <si>
    <t>https://www.digikey.ca/en/products/detail/panasonic-electronic-components/ERJ-3EKF1004V/196033</t>
  </si>
  <si>
    <t>100k Resistor</t>
  </si>
  <si>
    <t>https://www.digikey.ca/en/products/detail/panasonic-electronic-components/ERA-6AEB104V/1465797</t>
  </si>
  <si>
    <t>C6, C7, C8, C9</t>
  </si>
  <si>
    <t>R4, R5</t>
  </si>
  <si>
    <t>R10</t>
  </si>
  <si>
    <t>R1, R2, R3</t>
  </si>
  <si>
    <t>AtMega328PB</t>
  </si>
  <si>
    <t>S1, S2</t>
  </si>
  <si>
    <t>https://www.digikey.ca/en/products/detail/stackpole-electronics-inc/RMCF0805JT5K10/1757930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</si>
</sst>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44" fontId="0" fillId="0" borderId="0" xfId="1" applyFont="1"/>
    <xf numFmtId="0" fontId="0" fillId="0" borderId="1" xfId="0" applyBorder="1"/>
    <xf numFmtId="164" fontId="0" fillId="0" borderId="3" xfId="0" applyNumberForma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D2449-A99C-4B50-A989-B11F8DF9214D}" name="Table2" displayName="Table2" ref="A2:J19" totalsRowShown="0">
  <autoFilter ref="A2:J19" xr:uid="{4EBD2449-A99C-4B50-A989-B11F8DF9214D}"/>
  <tableColumns count="10">
    <tableColumn id="1" xr3:uid="{7FC96545-2991-43EA-8EEE-F1E652BE326F}" name="Item #"/>
    <tableColumn id="2" xr3:uid="{9FB5BFE9-D765-40F5-BF3E-56CCC6E7B618}" name="Designator"/>
    <tableColumn id="3" xr3:uid="{378B7F37-FB0C-4912-99DE-93800BBDA088}" name="Description / Value"/>
    <tableColumn id="4" xr3:uid="{8627965C-3C61-4EB7-A3B4-E4CB6CCD2A07}" name="Manufacturer"/>
    <tableColumn id="5" xr3:uid="{C6246D32-8DA1-442D-9347-F76D5D285844}" name="Mounting Type"/>
    <tableColumn id="6" xr3:uid="{63060A19-A0E5-4133-BEC2-266D6AF464C8}" name="Package / Case"/>
    <tableColumn id="7" xr3:uid="{D6ED9CCC-A3C7-4B03-8A1F-1EC043B54B0F}" name="Unit Price" dataCellStyle="Currency"/>
    <tableColumn id="8" xr3:uid="{D9A5FC15-BE9C-40F2-A970-DFDEFB80DBCC}" name="Quantity"/>
    <tableColumn id="9" xr3:uid="{73C7E406-A74D-45B6-AA84-A36862AE8D1F}" name="Total">
      <calculatedColumnFormula>G3*H3</calculatedColumnFormula>
    </tableColumn>
    <tableColumn id="10" xr3:uid="{541C9BF2-1C12-4298-BD8A-50EBAE564321}" name="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4E07-79A6-40F1-9F87-AE3BAF6E2669}">
  <dimension ref="A1:J21"/>
  <sheetViews>
    <sheetView tabSelected="1" topLeftCell="A2" zoomScale="149" workbookViewId="0">
      <selection activeCell="D8" sqref="D8"/>
    </sheetView>
  </sheetViews>
  <sheetFormatPr defaultRowHeight="14.5" x14ac:dyDescent="0.35"/>
  <cols>
    <col min="1" max="1" width="8.7265625" customWidth="1"/>
    <col min="2" max="2" width="21.26953125" customWidth="1"/>
    <col min="3" max="3" width="29" bestFit="1" customWidth="1"/>
    <col min="4" max="4" width="31.453125" bestFit="1" customWidth="1"/>
    <col min="5" max="5" width="21" customWidth="1"/>
    <col min="6" max="6" width="27.36328125" bestFit="1" customWidth="1"/>
    <col min="7" max="7" width="14.453125" customWidth="1"/>
    <col min="8" max="8" width="10.81640625" customWidth="1"/>
    <col min="10" max="10" width="93.81640625" customWidth="1"/>
  </cols>
  <sheetData>
    <row r="1" spans="1:10" ht="31.5" customHeight="1" thickBot="1" x14ac:dyDescent="0.6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x14ac:dyDescent="0.35">
      <c r="A2" t="s">
        <v>1</v>
      </c>
      <c r="B2" t="s">
        <v>2</v>
      </c>
      <c r="C2" t="s">
        <v>15</v>
      </c>
      <c r="D2" t="s">
        <v>3</v>
      </c>
      <c r="E2" t="s">
        <v>4</v>
      </c>
      <c r="F2" t="s">
        <v>14</v>
      </c>
      <c r="G2" t="s">
        <v>5</v>
      </c>
      <c r="H2" t="s">
        <v>7</v>
      </c>
      <c r="I2" t="s">
        <v>6</v>
      </c>
      <c r="J2" t="s">
        <v>8</v>
      </c>
    </row>
    <row r="3" spans="1:10" x14ac:dyDescent="0.35">
      <c r="A3">
        <v>1</v>
      </c>
      <c r="B3" t="s">
        <v>9</v>
      </c>
      <c r="C3" t="s">
        <v>76</v>
      </c>
      <c r="D3" t="s">
        <v>10</v>
      </c>
      <c r="E3" t="s">
        <v>11</v>
      </c>
      <c r="F3" t="s">
        <v>13</v>
      </c>
      <c r="G3" s="2">
        <v>2.5099999999999998</v>
      </c>
      <c r="H3">
        <v>1</v>
      </c>
      <c r="I3" s="1">
        <f>G3*H3</f>
        <v>2.5099999999999998</v>
      </c>
      <c r="J3" t="s">
        <v>12</v>
      </c>
    </row>
    <row r="4" spans="1:10" x14ac:dyDescent="0.35">
      <c r="A4">
        <v>2</v>
      </c>
      <c r="B4" t="s">
        <v>16</v>
      </c>
      <c r="C4" t="s">
        <v>28</v>
      </c>
      <c r="D4" t="s">
        <v>27</v>
      </c>
      <c r="E4" t="s">
        <v>11</v>
      </c>
      <c r="F4" t="s">
        <v>26</v>
      </c>
      <c r="G4" s="2">
        <v>0.26</v>
      </c>
      <c r="H4">
        <v>2</v>
      </c>
      <c r="I4" s="1">
        <f t="shared" ref="I4:I9" si="0">G4*H4</f>
        <v>0.52</v>
      </c>
      <c r="J4" t="s">
        <v>37</v>
      </c>
    </row>
    <row r="5" spans="1:10" x14ac:dyDescent="0.35">
      <c r="A5">
        <v>3</v>
      </c>
      <c r="B5" t="s">
        <v>17</v>
      </c>
      <c r="C5" t="s">
        <v>29</v>
      </c>
      <c r="D5" t="s">
        <v>40</v>
      </c>
      <c r="E5" t="s">
        <v>11</v>
      </c>
      <c r="F5" t="s">
        <v>26</v>
      </c>
      <c r="G5" s="2">
        <v>0.35</v>
      </c>
      <c r="H5">
        <v>2</v>
      </c>
      <c r="I5" s="1">
        <f t="shared" si="0"/>
        <v>0.7</v>
      </c>
      <c r="J5" t="s">
        <v>35</v>
      </c>
    </row>
    <row r="6" spans="1:10" x14ac:dyDescent="0.35">
      <c r="A6">
        <v>4</v>
      </c>
      <c r="B6" t="s">
        <v>25</v>
      </c>
      <c r="C6" t="s">
        <v>30</v>
      </c>
      <c r="D6" t="s">
        <v>40</v>
      </c>
      <c r="E6" t="s">
        <v>11</v>
      </c>
      <c r="F6" t="s">
        <v>26</v>
      </c>
      <c r="G6" s="2">
        <v>0.45</v>
      </c>
      <c r="H6">
        <v>1</v>
      </c>
      <c r="I6" s="1">
        <f t="shared" si="0"/>
        <v>0.45</v>
      </c>
      <c r="J6" t="s">
        <v>36</v>
      </c>
    </row>
    <row r="7" spans="1:10" x14ac:dyDescent="0.35">
      <c r="A7">
        <v>5</v>
      </c>
      <c r="B7" t="s">
        <v>18</v>
      </c>
      <c r="C7" t="s">
        <v>19</v>
      </c>
      <c r="D7" t="s">
        <v>41</v>
      </c>
      <c r="E7" t="s">
        <v>11</v>
      </c>
      <c r="F7" t="s">
        <v>33</v>
      </c>
      <c r="G7" s="2">
        <v>1.05</v>
      </c>
      <c r="H7">
        <v>1</v>
      </c>
      <c r="I7" s="1">
        <f t="shared" si="0"/>
        <v>1.05</v>
      </c>
      <c r="J7" t="s">
        <v>34</v>
      </c>
    </row>
    <row r="8" spans="1:10" x14ac:dyDescent="0.35">
      <c r="A8">
        <v>6</v>
      </c>
      <c r="B8" t="s">
        <v>75</v>
      </c>
      <c r="C8" t="s">
        <v>23</v>
      </c>
      <c r="D8" t="s">
        <v>55</v>
      </c>
      <c r="E8" t="s">
        <v>11</v>
      </c>
      <c r="F8" t="s">
        <v>26</v>
      </c>
      <c r="G8" s="2">
        <v>0.15</v>
      </c>
      <c r="H8">
        <v>10</v>
      </c>
      <c r="I8" s="1">
        <f t="shared" si="0"/>
        <v>1.5</v>
      </c>
      <c r="J8" t="s">
        <v>54</v>
      </c>
    </row>
    <row r="9" spans="1:10" x14ac:dyDescent="0.35">
      <c r="A9">
        <v>7</v>
      </c>
      <c r="B9" t="s">
        <v>73</v>
      </c>
      <c r="C9" t="s">
        <v>24</v>
      </c>
      <c r="D9" t="s">
        <v>55</v>
      </c>
      <c r="E9" t="s">
        <v>11</v>
      </c>
      <c r="F9" t="s">
        <v>26</v>
      </c>
      <c r="G9" s="2">
        <v>0.16</v>
      </c>
      <c r="H9">
        <v>2</v>
      </c>
      <c r="I9" s="1">
        <f t="shared" si="0"/>
        <v>0.32</v>
      </c>
      <c r="J9" t="s">
        <v>78</v>
      </c>
    </row>
    <row r="10" spans="1:10" x14ac:dyDescent="0.35">
      <c r="A10">
        <v>8</v>
      </c>
      <c r="B10" t="s">
        <v>21</v>
      </c>
      <c r="C10" t="s">
        <v>22</v>
      </c>
      <c r="D10" t="s">
        <v>42</v>
      </c>
      <c r="E10" t="s">
        <v>11</v>
      </c>
      <c r="G10" s="2">
        <v>0.59</v>
      </c>
      <c r="H10">
        <v>1</v>
      </c>
      <c r="I10" s="1">
        <f t="shared" ref="I10:I18" si="1">G10*H10</f>
        <v>0.59</v>
      </c>
      <c r="J10" t="s">
        <v>31</v>
      </c>
    </row>
    <row r="11" spans="1:10" x14ac:dyDescent="0.35">
      <c r="A11">
        <v>9</v>
      </c>
      <c r="B11" t="s">
        <v>77</v>
      </c>
      <c r="C11" t="s">
        <v>32</v>
      </c>
      <c r="D11" t="s">
        <v>43</v>
      </c>
      <c r="E11" t="s">
        <v>11</v>
      </c>
      <c r="G11" s="2">
        <v>0.32</v>
      </c>
      <c r="H11">
        <v>10</v>
      </c>
      <c r="I11" s="1">
        <f t="shared" si="1"/>
        <v>3.2</v>
      </c>
      <c r="J11" t="s">
        <v>38</v>
      </c>
    </row>
    <row r="12" spans="1:10" x14ac:dyDescent="0.35">
      <c r="A12">
        <v>10</v>
      </c>
      <c r="B12" t="s">
        <v>46</v>
      </c>
      <c r="C12" t="s">
        <v>45</v>
      </c>
      <c r="D12" t="s">
        <v>44</v>
      </c>
      <c r="E12" t="s">
        <v>11</v>
      </c>
      <c r="F12" t="s">
        <v>47</v>
      </c>
      <c r="G12" s="2">
        <v>27.91</v>
      </c>
      <c r="H12">
        <v>1</v>
      </c>
      <c r="I12" s="1">
        <f t="shared" si="1"/>
        <v>27.91</v>
      </c>
      <c r="J12" t="s">
        <v>48</v>
      </c>
    </row>
    <row r="13" spans="1:10" x14ac:dyDescent="0.35">
      <c r="A13">
        <v>11</v>
      </c>
      <c r="B13" t="s">
        <v>72</v>
      </c>
      <c r="C13" t="s">
        <v>53</v>
      </c>
      <c r="D13" t="s">
        <v>27</v>
      </c>
      <c r="E13" t="s">
        <v>11</v>
      </c>
      <c r="F13" t="s">
        <v>26</v>
      </c>
      <c r="G13" s="2">
        <v>0.12</v>
      </c>
      <c r="H13">
        <v>10</v>
      </c>
      <c r="I13" s="1">
        <f t="shared" si="1"/>
        <v>1.2</v>
      </c>
      <c r="J13" t="s">
        <v>52</v>
      </c>
    </row>
    <row r="14" spans="1:10" x14ac:dyDescent="0.35">
      <c r="A14">
        <v>12</v>
      </c>
      <c r="B14" t="s">
        <v>59</v>
      </c>
      <c r="C14" t="s">
        <v>58</v>
      </c>
      <c r="D14" t="s">
        <v>42</v>
      </c>
      <c r="E14" t="s">
        <v>51</v>
      </c>
      <c r="G14" s="2">
        <v>1.89</v>
      </c>
      <c r="H14">
        <v>3</v>
      </c>
      <c r="I14" s="1">
        <f t="shared" si="1"/>
        <v>5.67</v>
      </c>
      <c r="J14" t="s">
        <v>56</v>
      </c>
    </row>
    <row r="15" spans="1:10" x14ac:dyDescent="0.35">
      <c r="A15">
        <v>13</v>
      </c>
      <c r="B15" t="s">
        <v>63</v>
      </c>
      <c r="C15" t="s">
        <v>62</v>
      </c>
      <c r="D15" t="s">
        <v>44</v>
      </c>
      <c r="E15" t="s">
        <v>11</v>
      </c>
      <c r="F15" t="s">
        <v>61</v>
      </c>
      <c r="G15" s="2">
        <v>1.51</v>
      </c>
      <c r="H15">
        <v>3</v>
      </c>
      <c r="I15" s="1">
        <f t="shared" si="1"/>
        <v>4.53</v>
      </c>
      <c r="J15" t="s">
        <v>60</v>
      </c>
    </row>
    <row r="16" spans="1:10" x14ac:dyDescent="0.35">
      <c r="A16">
        <v>14</v>
      </c>
      <c r="B16" t="s">
        <v>20</v>
      </c>
      <c r="C16" t="s">
        <v>65</v>
      </c>
      <c r="D16" t="s">
        <v>67</v>
      </c>
      <c r="E16" t="s">
        <v>11</v>
      </c>
      <c r="F16" t="s">
        <v>26</v>
      </c>
      <c r="G16" s="2">
        <v>0.15</v>
      </c>
      <c r="H16">
        <v>5</v>
      </c>
      <c r="I16" s="1">
        <f t="shared" si="1"/>
        <v>0.75</v>
      </c>
      <c r="J16" t="s">
        <v>66</v>
      </c>
    </row>
    <row r="17" spans="1:10" x14ac:dyDescent="0.35">
      <c r="A17">
        <v>15</v>
      </c>
      <c r="B17" t="s">
        <v>64</v>
      </c>
      <c r="C17" t="s">
        <v>68</v>
      </c>
      <c r="D17" t="s">
        <v>67</v>
      </c>
      <c r="E17" t="s">
        <v>11</v>
      </c>
      <c r="F17" t="s">
        <v>26</v>
      </c>
      <c r="G17" s="2">
        <v>0.15</v>
      </c>
      <c r="H17">
        <v>5</v>
      </c>
      <c r="I17" s="1">
        <f t="shared" si="1"/>
        <v>0.75</v>
      </c>
      <c r="J17" t="s">
        <v>69</v>
      </c>
    </row>
    <row r="18" spans="1:10" x14ac:dyDescent="0.35">
      <c r="A18">
        <v>16</v>
      </c>
      <c r="B18" t="s">
        <v>74</v>
      </c>
      <c r="C18" t="s">
        <v>70</v>
      </c>
      <c r="D18" t="s">
        <v>67</v>
      </c>
      <c r="E18" t="s">
        <v>11</v>
      </c>
      <c r="F18" t="s">
        <v>26</v>
      </c>
      <c r="G18" s="2">
        <v>0.15</v>
      </c>
      <c r="H18">
        <v>5</v>
      </c>
      <c r="I18" s="1">
        <f t="shared" si="1"/>
        <v>0.75</v>
      </c>
      <c r="J18" t="s">
        <v>71</v>
      </c>
    </row>
    <row r="19" spans="1:10" x14ac:dyDescent="0.35">
      <c r="A19">
        <v>17</v>
      </c>
      <c r="C19" t="s">
        <v>50</v>
      </c>
      <c r="D19" t="s">
        <v>49</v>
      </c>
      <c r="E19" t="s">
        <v>51</v>
      </c>
      <c r="F19" t="s">
        <v>57</v>
      </c>
      <c r="G19" s="2">
        <v>0</v>
      </c>
      <c r="H19">
        <v>1</v>
      </c>
      <c r="I19" s="1">
        <f t="shared" ref="I19" si="2">G19*H19</f>
        <v>0</v>
      </c>
      <c r="J19" t="s">
        <v>49</v>
      </c>
    </row>
    <row r="20" spans="1:10" ht="15" thickBot="1" x14ac:dyDescent="0.4"/>
    <row r="21" spans="1:10" ht="15" thickBot="1" x14ac:dyDescent="0.4">
      <c r="H21" s="3" t="s">
        <v>39</v>
      </c>
      <c r="I21" s="4">
        <f>SUM(Table2[Total])</f>
        <v>52.400000000000006</v>
      </c>
    </row>
  </sheetData>
  <mergeCells count="1">
    <mergeCell ref="A1:J1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Maginnis</dc:creator>
  <cp:lastModifiedBy>Nicolas Martin Jao</cp:lastModifiedBy>
  <dcterms:created xsi:type="dcterms:W3CDTF">2026-03-19T16:52:52Z</dcterms:created>
  <dcterms:modified xsi:type="dcterms:W3CDTF">2026-04-18T19:09:04Z</dcterms:modified>
</cp:coreProperties>
</file>